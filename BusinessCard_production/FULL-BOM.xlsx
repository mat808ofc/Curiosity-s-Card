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eu\Documents\"/>
    </mc:Choice>
  </mc:AlternateContent>
  <xr:revisionPtr revIDLastSave="0" documentId="8_{3F96BBFE-2371-4F12-8445-5CEAB5EAE829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BOM &amp; Cost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  <c r="E17" i="1" s="1"/>
  <c r="E22" i="1" s="1"/>
  <c r="E7" i="1"/>
  <c r="D6" i="1"/>
  <c r="D5" i="1"/>
  <c r="D4" i="1"/>
  <c r="D3" i="1"/>
  <c r="E23" i="1" l="1"/>
</calcChain>
</file>

<file path=xl/sharedStrings.xml><?xml version="1.0" encoding="utf-8"?>
<sst xmlns="http://schemas.openxmlformats.org/spreadsheetml/2006/main" count="45" uniqueCount="41">
  <si>
    <t>Components BOM</t>
  </si>
  <si>
    <t>Part</t>
  </si>
  <si>
    <t>MFR.Part #</t>
  </si>
  <si>
    <t>Qty</t>
  </si>
  <si>
    <t>Unit Cost (USD)</t>
  </si>
  <si>
    <t>Total Cost (USD)</t>
  </si>
  <si>
    <t>Link to part (LCSC)</t>
  </si>
  <si>
    <t>Distributor</t>
  </si>
  <si>
    <t>C1 (200nF 0603 capacitor)</t>
  </si>
  <si>
    <t>0603B204K160CT</t>
  </si>
  <si>
    <t>https://www.lcsc.com/pt/product-detail/C3833176.html?s_z=n_q_0603B204K160CT</t>
  </si>
  <si>
    <t>JLCPCB</t>
  </si>
  <si>
    <t>D1 (TLMS1000 0603 LED)</t>
  </si>
  <si>
    <t>TLMS1000-GS15</t>
  </si>
  <si>
    <t>https://www.lcsc.com/pt/product-detail/C23070302.html?s_z=n_q_TLMS1000-GS15</t>
  </si>
  <si>
    <t>R1 (130Ω 0402 resistor)</t>
  </si>
  <si>
    <t>RC0402FR-07130RL</t>
  </si>
  <si>
    <t>https://www.lcsc.com/pt/product-detail/C477610.html?s_z=n_q_RC0402FR-07130RL</t>
  </si>
  <si>
    <t>U1 (NXP NT3H2111W0FHKH)</t>
  </si>
  <si>
    <t>NT3H2111W0FHKH</t>
  </si>
  <si>
    <t>https://www.lcsc.com/pt/product-detail/C710403.html?s_z=n_q_NT3H2111W0FHKH</t>
  </si>
  <si>
    <t>Components Total:</t>
  </si>
  <si>
    <t>JLCPCB Fabrication &amp; Assembly Quote</t>
  </si>
  <si>
    <t>Item</t>
  </si>
  <si>
    <t>Details</t>
  </si>
  <si>
    <t>Build Time</t>
  </si>
  <si>
    <t>Price (USD)</t>
  </si>
  <si>
    <t>PCB Prototype (business_card_Y10)</t>
  </si>
  <si>
    <t>Y10-11917019A, Black, 1.2mm Thickness, HASL (with lead) — Special offer price (orig. $4.00)</t>
  </si>
  <si>
    <t>24 hours</t>
  </si>
  <si>
    <t>PCBA — Economic Assembly (top side)</t>
  </si>
  <si>
    <t>SMT026100460931-11..., business_card_Y10</t>
  </si>
  <si>
    <t>1-2 days</t>
  </si>
  <si>
    <t>Merchandise Total:</t>
  </si>
  <si>
    <t>Shipping Estimated (Global Standard Direct Line):</t>
  </si>
  <si>
    <t>Coupon:</t>
  </si>
  <si>
    <t>Subtotal (Order Total):</t>
  </si>
  <si>
    <t>JLCPCB Order Subtotal:</t>
  </si>
  <si>
    <t>GRAND TOTAL:</t>
  </si>
  <si>
    <t>Grand Total (JLCPCB Order)</t>
  </si>
  <si>
    <t>Note: Part qty is the minimum order qty from 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</si>
</sst>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"/>
    <numFmt numFmtId="165" formatCode="\$#,##0.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i/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/>
    <xf numFmtId="0" fontId="3" fillId="0" borderId="1" xfId="0" applyFont="1" applyBorder="1" applyAlignment="1">
      <alignment wrapText="1"/>
    </xf>
    <xf numFmtId="165" fontId="3" fillId="0" borderId="1" xfId="0" applyNumberFormat="1" applyFont="1" applyBorder="1"/>
    <xf numFmtId="0" fontId="5" fillId="0" borderId="0" xfId="0" applyFont="1" applyAlignment="1">
      <alignment horizontal="right"/>
    </xf>
    <xf numFmtId="165" fontId="5" fillId="0" borderId="0" xfId="0" applyNumberFormat="1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6" fillId="3" borderId="0" xfId="0" applyFont="1" applyFill="1" applyAlignment="1">
      <alignment horizontal="right"/>
    </xf>
    <xf numFmtId="165" fontId="6" fillId="3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horizontal="right"/>
    </xf>
    <xf numFmtId="165" fontId="1" fillId="4" borderId="0" xfId="0" applyNumberFormat="1" applyFont="1" applyFill="1"/>
    <xf numFmtId="0" fontId="7" fillId="0" borderId="0" xfId="0" applyFont="1"/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t/product-detail/C477610.html?s_z=n_q_RC0402FR-07130RL" TargetMode="External"/><Relationship Id="rId2" Type="http://schemas.openxmlformats.org/officeDocument/2006/relationships/hyperlink" Target="https://www.lcsc.com/pt/product-detail/C23070302.html?s_z=n_q_TLMS1000-GS15" TargetMode="External"/><Relationship Id="rId1" Type="http://schemas.openxmlformats.org/officeDocument/2006/relationships/hyperlink" Target="https://www.lcsc.com/pt/product-detail/C3833176.html?s_z=n_q_0603B204K160CT" TargetMode="External"/><Relationship Id="rId4" Type="http://schemas.openxmlformats.org/officeDocument/2006/relationships/hyperlink" Target="https://www.lcsc.com/pt/product-detail/C710403.html?s_z=n_q_NT3H2111W0FH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pane ySplit="2" topLeftCell="A3" activePane="bottomLeft" state="frozen"/>
      <selection pane="bottomLeft" activeCell="F13" sqref="F13"/>
    </sheetView>
  </sheetViews>
  <sheetFormatPr defaultColWidth="8.7109375" defaultRowHeight="15" x14ac:dyDescent="0.25"/>
  <cols>
    <col min="1" max="1" width="32" customWidth="1"/>
    <col min="2" max="2" width="20" customWidth="1"/>
    <col min="3" max="3" width="8" customWidth="1"/>
    <col min="4" max="5" width="16" customWidth="1"/>
    <col min="6" max="6" width="55" customWidth="1"/>
    <col min="7" max="7" width="12" customWidth="1"/>
  </cols>
  <sheetData>
    <row r="1" spans="1:7" ht="16.5" x14ac:dyDescent="0.25">
      <c r="A1" s="1" t="s">
        <v>0</v>
      </c>
    </row>
    <row r="2" spans="1:7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>
        <v>20</v>
      </c>
      <c r="D3" s="4">
        <f>E3/C3</f>
        <v>4.5700000000000005E-2</v>
      </c>
      <c r="E3" s="4">
        <v>0.91400000000000003</v>
      </c>
      <c r="F3" s="5" t="s">
        <v>10</v>
      </c>
      <c r="G3" s="3" t="s">
        <v>11</v>
      </c>
    </row>
    <row r="4" spans="1:7" x14ac:dyDescent="0.25">
      <c r="A4" s="3" t="s">
        <v>12</v>
      </c>
      <c r="B4" s="3" t="s">
        <v>13</v>
      </c>
      <c r="C4" s="3">
        <v>5</v>
      </c>
      <c r="D4" s="4">
        <f>E4/C4</f>
        <v>0.1721</v>
      </c>
      <c r="E4" s="4">
        <v>0.86050000000000004</v>
      </c>
      <c r="F4" s="5" t="s">
        <v>14</v>
      </c>
      <c r="G4" s="3" t="s">
        <v>11</v>
      </c>
    </row>
    <row r="5" spans="1:7" x14ac:dyDescent="0.25">
      <c r="A5" s="3" t="s">
        <v>15</v>
      </c>
      <c r="B5" s="3" t="s">
        <v>16</v>
      </c>
      <c r="C5" s="3">
        <v>20</v>
      </c>
      <c r="D5" s="4">
        <f>E5/C5</f>
        <v>4.0000000000000001E-3</v>
      </c>
      <c r="E5" s="4">
        <v>0.08</v>
      </c>
      <c r="F5" s="5" t="s">
        <v>17</v>
      </c>
      <c r="G5" s="3" t="s">
        <v>11</v>
      </c>
    </row>
    <row r="6" spans="1:7" x14ac:dyDescent="0.25">
      <c r="A6" s="3" t="s">
        <v>18</v>
      </c>
      <c r="B6" s="3" t="s">
        <v>19</v>
      </c>
      <c r="C6" s="3">
        <v>2</v>
      </c>
      <c r="D6" s="4">
        <f>E6/C6</f>
        <v>0.61619999999999997</v>
      </c>
      <c r="E6" s="4">
        <v>1.2323999999999999</v>
      </c>
      <c r="F6" s="5" t="s">
        <v>20</v>
      </c>
      <c r="G6" s="3" t="s">
        <v>11</v>
      </c>
    </row>
    <row r="7" spans="1:7" x14ac:dyDescent="0.25">
      <c r="A7" s="6"/>
      <c r="B7" s="6"/>
      <c r="C7" s="6"/>
      <c r="D7" s="7" t="s">
        <v>21</v>
      </c>
      <c r="E7" s="8">
        <f>SUM(E3:E6)</f>
        <v>3.0869</v>
      </c>
      <c r="F7" s="6"/>
      <c r="G7" s="6"/>
    </row>
    <row r="8" spans="1:7" x14ac:dyDescent="0.25">
      <c r="A8" s="22" t="s">
        <v>40</v>
      </c>
    </row>
    <row r="10" spans="1:7" ht="16.5" x14ac:dyDescent="0.25">
      <c r="A10" s="1" t="s">
        <v>22</v>
      </c>
    </row>
    <row r="11" spans="1:7" x14ac:dyDescent="0.25">
      <c r="A11" s="2" t="s">
        <v>23</v>
      </c>
      <c r="B11" s="2" t="s">
        <v>24</v>
      </c>
      <c r="C11" s="2" t="s">
        <v>3</v>
      </c>
      <c r="D11" s="2" t="s">
        <v>25</v>
      </c>
      <c r="E11" s="2" t="s">
        <v>26</v>
      </c>
    </row>
    <row r="12" spans="1:7" ht="86.25" x14ac:dyDescent="0.25">
      <c r="A12" s="3" t="s">
        <v>27</v>
      </c>
      <c r="B12" s="9" t="s">
        <v>28</v>
      </c>
      <c r="C12" s="3">
        <v>5</v>
      </c>
      <c r="D12" s="3" t="s">
        <v>29</v>
      </c>
      <c r="E12" s="10">
        <v>2</v>
      </c>
    </row>
    <row r="13" spans="1:7" ht="43.5" x14ac:dyDescent="0.25">
      <c r="A13" s="3" t="s">
        <v>30</v>
      </c>
      <c r="B13" s="9" t="s">
        <v>31</v>
      </c>
      <c r="C13" s="3">
        <v>2</v>
      </c>
      <c r="D13" s="3" t="s">
        <v>32</v>
      </c>
      <c r="E13" s="10">
        <v>26.28</v>
      </c>
    </row>
    <row r="14" spans="1:7" x14ac:dyDescent="0.25">
      <c r="D14" s="11" t="s">
        <v>33</v>
      </c>
      <c r="E14" s="12">
        <f>SUM(E12:E13)</f>
        <v>28.28</v>
      </c>
    </row>
    <row r="15" spans="1:7" x14ac:dyDescent="0.25">
      <c r="D15" s="13" t="s">
        <v>34</v>
      </c>
      <c r="E15" s="14">
        <v>8.48</v>
      </c>
    </row>
    <row r="16" spans="1:7" x14ac:dyDescent="0.25">
      <c r="D16" s="13" t="s">
        <v>35</v>
      </c>
      <c r="E16" s="14">
        <v>-10</v>
      </c>
    </row>
    <row r="17" spans="1:5" ht="15.75" x14ac:dyDescent="0.25">
      <c r="D17" s="15" t="s">
        <v>36</v>
      </c>
      <c r="E17" s="16">
        <f>E14+E15+E16</f>
        <v>26.760000000000005</v>
      </c>
    </row>
    <row r="20" spans="1:5" ht="16.5" x14ac:dyDescent="0.25">
      <c r="A20" s="1" t="s">
        <v>39</v>
      </c>
    </row>
    <row r="21" spans="1:5" x14ac:dyDescent="0.25">
      <c r="D21" s="13"/>
      <c r="E21" s="17"/>
    </row>
    <row r="22" spans="1:5" x14ac:dyDescent="0.25">
      <c r="D22" s="13" t="s">
        <v>37</v>
      </c>
      <c r="E22" s="18">
        <f>E17</f>
        <v>26.760000000000005</v>
      </c>
    </row>
    <row r="23" spans="1:5" ht="16.5" x14ac:dyDescent="0.25">
      <c r="D23" s="19" t="s">
        <v>38</v>
      </c>
      <c r="E23" s="20">
        <f>E21+E22</f>
        <v>26.760000000000005</v>
      </c>
    </row>
    <row r="25" spans="1:5" x14ac:dyDescent="0.25">
      <c r="A25" s="21"/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BOM &amp; 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Mateus lança</cp:lastModifiedBy>
  <cp:revision>0</cp:revision>
  <dcterms:created xsi:type="dcterms:W3CDTF">2026-10-04T11:02:07Z</dcterms:created>
  <dcterms:modified xsi:type="dcterms:W3CDTF">2026-10-04T11:06:47Z</dcterms:modified>
  <dc:language>en-US</dc:language>
</cp:coreProperties>
</file>